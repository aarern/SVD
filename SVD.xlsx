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a8ac95b515d8bd/Attachments/Desktop/Non Internship/Portfolio Management/Singular Value Decomposition/"/>
    </mc:Choice>
  </mc:AlternateContent>
  <xr:revisionPtr revIDLastSave="176" documentId="8_{711E94EB-1091-4BC6-94E0-67A18A1B8B92}" xr6:coauthVersionLast="47" xr6:coauthVersionMax="47" xr10:uidLastSave="{8A6DCD8C-DF9E-4665-A1E0-0E3BC9FBCD72}"/>
  <bookViews>
    <workbookView xWindow="-110" yWindow="-110" windowWidth="24220" windowHeight="15500" firstSheet="1" activeTab="1" xr2:uid="{30BA5BF2-F5FB-4C6E-9F6F-797629037C40}"/>
  </bookViews>
  <sheets>
    <sheet name="Chart1" sheetId="2" r:id="rId1"/>
    <sheet name="SV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51" i="1" l="1"/>
  <c r="E50" i="1"/>
  <c r="E49" i="1"/>
  <c r="G40" i="1"/>
  <c r="G39" i="1"/>
  <c r="G38" i="1"/>
  <c r="G37" i="1"/>
  <c r="G36" i="1"/>
  <c r="G35" i="1"/>
  <c r="G34" i="1"/>
  <c r="E43" i="1" s="1" a="1"/>
  <c r="E43" i="1" s="1"/>
  <c r="G33" i="1"/>
  <c r="G32" i="1"/>
  <c r="E37" i="1"/>
  <c r="C43" i="1" l="1" a="1"/>
  <c r="C43" i="1" s="1"/>
  <c r="E34" i="1"/>
  <c r="F34" i="1" s="1"/>
  <c r="E40" i="1"/>
  <c r="F40" i="1" s="1"/>
  <c r="E39" i="1"/>
  <c r="F39" i="1" s="1"/>
  <c r="E38" i="1"/>
  <c r="F38" i="1" s="1"/>
  <c r="F37" i="1"/>
  <c r="E36" i="1"/>
  <c r="F36" i="1" s="1"/>
  <c r="E35" i="1"/>
  <c r="F35" i="1" s="1"/>
  <c r="E33" i="1"/>
  <c r="F33" i="1" s="1"/>
  <c r="E32" i="1"/>
  <c r="C51" i="1" l="1"/>
  <c r="D51" i="1" s="1"/>
  <c r="C49" i="1"/>
  <c r="D49" i="1" s="1"/>
  <c r="C50" i="1"/>
  <c r="D50" i="1" s="1"/>
  <c r="E123" i="1" l="1"/>
  <c r="D55" i="1"/>
  <c r="D101" i="1" s="1"/>
  <c r="D104" i="1" s="1"/>
  <c r="D109" i="1" s="1"/>
  <c r="F32" i="1"/>
  <c r="E56" i="1"/>
  <c r="E101" i="1" s="1"/>
  <c r="E104" i="1" s="1"/>
  <c r="E110" i="1" s="1"/>
  <c r="D110" i="1" s="1"/>
  <c r="C110" i="1" s="1"/>
  <c r="C54" i="1" l="1"/>
  <c r="C101" i="1" s="1"/>
  <c r="C104" i="1" s="1"/>
  <c r="C108" i="1" s="1"/>
  <c r="D108" i="1" s="1"/>
  <c r="E109" i="1"/>
  <c r="C109" i="1"/>
  <c r="D43" i="1" a="1"/>
  <c r="D43" i="1" s="1"/>
  <c r="C12" i="1" a="1"/>
  <c r="C12" i="1" s="1"/>
  <c r="C17" i="1" s="1" a="1"/>
  <c r="C65" i="1" l="1" a="1"/>
  <c r="C65" i="1" s="1"/>
  <c r="C81" i="1" s="1" a="1"/>
  <c r="C114" i="1" a="1"/>
  <c r="C114" i="1" s="1"/>
  <c r="G65" i="1" a="1"/>
  <c r="G65" i="1" s="1"/>
  <c r="E108" i="1"/>
  <c r="E114" i="1" s="1" a="1"/>
  <c r="E114" i="1" s="1"/>
  <c r="D114" i="1" a="1"/>
  <c r="C17" i="1"/>
  <c r="C22" i="1" s="1"/>
  <c r="C24" i="1"/>
  <c r="C23" i="1"/>
  <c r="C60" i="1" l="1" a="1"/>
  <c r="C60" i="1" s="1"/>
  <c r="D114" i="1"/>
  <c r="E86" i="1"/>
  <c r="D86" i="1"/>
  <c r="C81" i="1"/>
  <c r="C86" i="1" s="1"/>
  <c r="N65" i="1" a="1"/>
  <c r="N65" i="1" s="1"/>
  <c r="C27" i="1"/>
  <c r="C90" i="1" l="1" a="1"/>
  <c r="D124" i="1" s="1" a="1"/>
  <c r="D124" i="1" s="1"/>
  <c r="C70" i="1" a="1"/>
  <c r="C70" i="1" s="1"/>
  <c r="C90" i="1" l="1"/>
  <c r="C75" i="1" a="1"/>
  <c r="C75" i="1" s="1"/>
  <c r="C124" i="1" l="1" a="1"/>
  <c r="C124" i="1" s="1"/>
  <c r="C128" i="1" s="1" a="1"/>
  <c r="G90" i="1" a="1"/>
  <c r="G90" i="1" s="1"/>
  <c r="C95" i="1" a="1"/>
  <c r="C95" i="1" s="1"/>
  <c r="C128" i="1" l="1"/>
  <c r="C132" i="1" a="1"/>
  <c r="C1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<sst xmlns="http://schemas.openxmlformats.org/spreadsheetml/2006/main" count="76" uniqueCount="59">
  <si>
    <t>A</t>
  </si>
  <si>
    <t>A^T</t>
  </si>
  <si>
    <t>A^T*A</t>
  </si>
  <si>
    <t>V^T</t>
  </si>
  <si>
    <t>paste into diagonalize matrix</t>
  </si>
  <si>
    <t>cleaned</t>
  </si>
  <si>
    <t>P</t>
  </si>
  <si>
    <t>D</t>
  </si>
  <si>
    <t>[(0, 1, [Matrix([</t>
  </si>
  <si>
    <t>v1</t>
  </si>
  <si>
    <t>v2</t>
  </si>
  <si>
    <t>v3</t>
  </si>
  <si>
    <t>right</t>
  </si>
  <si>
    <t>left</t>
  </si>
  <si>
    <t>clean</t>
  </si>
  <si>
    <t>paste diagonal</t>
  </si>
  <si>
    <t>Isolated eigen vectors</t>
  </si>
  <si>
    <t>Isolated eigen values</t>
  </si>
  <si>
    <t>|</t>
  </si>
  <si>
    <t>eigen values (D)</t>
  </si>
  <si>
    <t>eigen vector matrix (P)</t>
  </si>
  <si>
    <t>A = PDP^-1 check</t>
  </si>
  <si>
    <t>P^-1</t>
  </si>
  <si>
    <t>PDP^-1</t>
  </si>
  <si>
    <t>Check</t>
  </si>
  <si>
    <t>Scalars to return P to A</t>
  </si>
  <si>
    <t>1/ magnitude of vector cols</t>
  </si>
  <si>
    <t>Unite eigen vectors (V)</t>
  </si>
  <si>
    <t>Singular values (square roots of eigen values &gt; 0)</t>
  </si>
  <si>
    <t>eigen value 1</t>
  </si>
  <si>
    <t>eigen value 2</t>
  </si>
  <si>
    <t>eigen value 3</t>
  </si>
  <si>
    <t>singular values</t>
  </si>
  <si>
    <t>construct diagonal matrix using singular values</t>
  </si>
  <si>
    <t>singular value matrix (Σ)</t>
  </si>
  <si>
    <t>Find U</t>
  </si>
  <si>
    <t>u1</t>
  </si>
  <si>
    <t>u2</t>
  </si>
  <si>
    <t>matrix U</t>
  </si>
  <si>
    <t>Check A = UΣV</t>
  </si>
  <si>
    <t>AV = UΣ because V*V^T = I</t>
  </si>
  <si>
    <t>equals text of "left" output</t>
  </si>
  <si>
    <t>Since A = UΣV^T</t>
  </si>
  <si>
    <t>{91/2 - sqrt(8065)/2: 1, sqrt(8065)/2 + 91/2: 1, 0: 1}</t>
  </si>
  <si>
    <t>[ 1],</t>
  </si>
  <si>
    <t>[-2],</t>
  </si>
  <si>
    <t>[ 1]])]), (91/2 - sqrt(8065)/2, 1, [Matrix([</t>
  </si>
  <si>
    <t>[ -sqrt(8065)/90 - 7/18],</t>
  </si>
  <si>
    <t>[11/36 - sqrt(8065)/180],</t>
  </si>
  <si>
    <t>[                     1]])]), (sqrt(8065)/2 + 91/2, 1, [Matrix([</t>
  </si>
  <si>
    <t>[ -7/18 + sqrt(8065)/90],</t>
  </si>
  <si>
    <t>[11/36 + sqrt(8065)/180],</t>
  </si>
  <si>
    <t>[                     1]])])]</t>
  </si>
  <si>
    <t>SVD</t>
  </si>
  <si>
    <t>Non-macro-enabled workbooks can't evaluate text. Paste the value in cells to the left of the yellow-highlighted range in the yellow-highlighted range, with an equal sign in front to evaluate</t>
  </si>
  <si>
    <t>thus AV1 * (1 / SigmaV1) = U1</t>
  </si>
  <si>
    <t>and AV2 * (1 / SigmaV2) = U2</t>
  </si>
  <si>
    <t>text join</t>
  </si>
  <si>
    <t>Paste the text-joined matrix in cell C27 in place of the row for the Python file titled "diagonalization"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</si>
</sst>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0-43AF-A484-5838BAC63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387504"/>
        <c:axId val="1888989552"/>
      </c:barChart>
      <c:catAx>
        <c:axId val="1866387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989552"/>
        <c:crosses val="autoZero"/>
        <c:auto val="1"/>
        <c:lblAlgn val="ctr"/>
        <c:lblOffset val="100"/>
        <c:noMultiLvlLbl val="0"/>
      </c:catAx>
      <c:valAx>
        <c:axId val="188898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408A9D-70C9-4890-A200-ADA14465704D}">
  <sheetPr codeName="Chart1"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3471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B03DB-7396-B2E0-C52E-AE80E46C6B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FA14-C2FC-4B9D-BE5D-94AA300BB9E5}">
  <sheetPr codeName="Sheet2"/>
  <dimension ref="C2:S133"/>
  <sheetViews>
    <sheetView showGridLines="0" tabSelected="1" zoomScale="116" workbookViewId="0"/>
  </sheetViews>
  <sheetFormatPr defaultRowHeight="14.5" x14ac:dyDescent="0.35"/>
  <cols>
    <col min="1" max="2" width="1.6328125" customWidth="1"/>
    <col min="7" max="7" width="10.54296875" bestFit="1" customWidth="1"/>
    <col min="8" max="8" width="9.36328125" bestFit="1" customWidth="1"/>
    <col min="9" max="15" width="9.36328125" customWidth="1"/>
  </cols>
  <sheetData>
    <row r="2" spans="3:19" x14ac:dyDescent="0.35">
      <c r="C2" s="4" t="s">
        <v>53</v>
      </c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</row>
    <row r="3" spans="3:19" ht="5" customHeight="1" x14ac:dyDescent="0.35"/>
    <row r="4" spans="3:19" x14ac:dyDescent="0.35">
      <c r="C4" t="s">
        <v>54</v>
      </c>
    </row>
    <row r="5" spans="3:19" x14ac:dyDescent="0.35">
      <c r="C5" t="s">
        <v>58</v>
      </c>
    </row>
    <row r="7" spans="3:19" x14ac:dyDescent="0.35">
      <c r="C7" s="3" t="s">
        <v>0</v>
      </c>
    </row>
    <row r="8" spans="3:19" x14ac:dyDescent="0.35">
      <c r="C8" s="1">
        <v>1</v>
      </c>
      <c r="D8">
        <v>2</v>
      </c>
      <c r="E8" s="2">
        <v>3</v>
      </c>
    </row>
    <row r="9" spans="3:19" x14ac:dyDescent="0.35">
      <c r="C9" s="1">
        <v>4</v>
      </c>
      <c r="D9">
        <v>5</v>
      </c>
      <c r="E9" s="2">
        <v>6</v>
      </c>
    </row>
    <row r="11" spans="3:19" x14ac:dyDescent="0.35">
      <c r="C11" s="3" t="s">
        <v>1</v>
      </c>
    </row>
    <row r="12" spans="3:19" x14ac:dyDescent="0.35">
      <c r="C12" s="1" cm="1">
        <f t="array" ref="C12:D14">TRANSPOSE(C8:E9)</f>
        <v>1</v>
      </c>
      <c r="D12" s="2">
        <v>4</v>
      </c>
    </row>
    <row r="13" spans="3:19" x14ac:dyDescent="0.35">
      <c r="C13" s="1">
        <v>2</v>
      </c>
      <c r="D13" s="2">
        <v>5</v>
      </c>
    </row>
    <row r="14" spans="3:19" x14ac:dyDescent="0.35">
      <c r="C14" s="1">
        <v>3</v>
      </c>
      <c r="D14" s="2">
        <v>6</v>
      </c>
    </row>
    <row r="16" spans="3:19" x14ac:dyDescent="0.35">
      <c r="C16" s="3" t="s">
        <v>2</v>
      </c>
    </row>
    <row r="17" spans="3:8" x14ac:dyDescent="0.35">
      <c r="C17" s="1" cm="1">
        <f t="array" ref="C17:E19">MMULT(C12:D14,C8:E9)</f>
        <v>17</v>
      </c>
      <c r="D17">
        <v>22</v>
      </c>
      <c r="E17" s="2">
        <v>27</v>
      </c>
    </row>
    <row r="18" spans="3:8" x14ac:dyDescent="0.35">
      <c r="C18" s="1">
        <v>22</v>
      </c>
      <c r="D18">
        <v>29</v>
      </c>
      <c r="E18" s="2">
        <v>36</v>
      </c>
    </row>
    <row r="19" spans="3:8" x14ac:dyDescent="0.35">
      <c r="C19" s="1">
        <v>27</v>
      </c>
      <c r="D19">
        <v>36</v>
      </c>
      <c r="E19" s="2">
        <v>45</v>
      </c>
    </row>
    <row r="21" spans="3:8" x14ac:dyDescent="0.35">
      <c r="C21" s="3" t="s">
        <v>57</v>
      </c>
    </row>
    <row r="22" spans="3:8" x14ac:dyDescent="0.35">
      <c r="C22" t="str">
        <f>_xlfn.TEXTJOIN(",",,C17:E17)</f>
        <v>17,22,27</v>
      </c>
    </row>
    <row r="23" spans="3:8" x14ac:dyDescent="0.35">
      <c r="C23" t="str">
        <f t="shared" ref="C23:C24" si="0">_xlfn.TEXTJOIN(",",,C18:E18)</f>
        <v>22,29,36</v>
      </c>
    </row>
    <row r="24" spans="3:8" x14ac:dyDescent="0.35">
      <c r="C24" t="str">
        <f t="shared" si="0"/>
        <v>27,36,45</v>
      </c>
    </row>
    <row r="26" spans="3:8" x14ac:dyDescent="0.35">
      <c r="C26" s="3" t="s">
        <v>4</v>
      </c>
    </row>
    <row r="27" spans="3:8" x14ac:dyDescent="0.35">
      <c r="C27" t="str">
        <f>"A = Matrix([["&amp;C22&amp;"],["&amp;C23&amp;"],["&amp;C24&amp;"],])"</f>
        <v>A = Matrix([[17,22,27],[22,29,36],[27,36,45],])</v>
      </c>
    </row>
    <row r="29" spans="3:8" x14ac:dyDescent="0.35">
      <c r="C29" s="3" t="s">
        <v>15</v>
      </c>
      <c r="D29" s="3"/>
      <c r="E29" s="3" t="s">
        <v>16</v>
      </c>
    </row>
    <row r="30" spans="3:8" x14ac:dyDescent="0.35">
      <c r="C30" t="s">
        <v>43</v>
      </c>
      <c r="D30" t="s">
        <v>18</v>
      </c>
      <c r="E30" s="4" t="s">
        <v>12</v>
      </c>
      <c r="F30" s="4" t="s">
        <v>13</v>
      </c>
      <c r="G30" s="4" t="s">
        <v>14</v>
      </c>
    </row>
    <row r="31" spans="3:8" x14ac:dyDescent="0.35">
      <c r="C31" t="s">
        <v>8</v>
      </c>
      <c r="D31" t="s">
        <v>18</v>
      </c>
      <c r="G31" s="9" t="s">
        <v>41</v>
      </c>
    </row>
    <row r="32" spans="3:8" x14ac:dyDescent="0.35">
      <c r="C32" t="s">
        <v>44</v>
      </c>
      <c r="D32" t="s">
        <v>18</v>
      </c>
      <c r="E32" t="str">
        <f>RIGHT(C32,LEN(C32)-FIND("[",C32))</f>
        <v xml:space="preserve"> 1],</v>
      </c>
      <c r="F32" t="str">
        <f>LEFT(E32,FIND("]",E32)-1)</f>
        <v xml:space="preserve"> 1</v>
      </c>
      <c r="G32" s="7">
        <f xml:space="preserve"> 1</f>
        <v>1</v>
      </c>
      <c r="H32" s="8"/>
    </row>
    <row r="33" spans="3:8" x14ac:dyDescent="0.35">
      <c r="C33" t="s">
        <v>45</v>
      </c>
      <c r="D33" t="s">
        <v>18</v>
      </c>
      <c r="E33" t="str">
        <f t="shared" ref="E33:E40" si="1">RIGHT(C33,LEN(C33)-FIND("[",C33))</f>
        <v>-2],</v>
      </c>
      <c r="F33" t="str">
        <f t="shared" ref="F33:F40" si="2">LEFT(E33,FIND("]",E33)-1)</f>
        <v>-2</v>
      </c>
      <c r="G33" s="7">
        <f>-2</f>
        <v>-2</v>
      </c>
      <c r="H33" s="8"/>
    </row>
    <row r="34" spans="3:8" x14ac:dyDescent="0.35">
      <c r="C34" t="s">
        <v>46</v>
      </c>
      <c r="D34" t="s">
        <v>18</v>
      </c>
      <c r="E34" t="str">
        <f>RIGHT(C34,LEN(C34)-FIND("[",C34))</f>
        <v xml:space="preserve"> 1]])]), (91/2 - sqrt(8065)/2, 1, [Matrix([</v>
      </c>
      <c r="F34" t="str">
        <f t="shared" si="2"/>
        <v xml:space="preserve"> 1</v>
      </c>
      <c r="G34" s="7">
        <f xml:space="preserve"> 1</f>
        <v>1</v>
      </c>
      <c r="H34" s="8"/>
    </row>
    <row r="35" spans="3:8" x14ac:dyDescent="0.35">
      <c r="C35" t="s">
        <v>47</v>
      </c>
      <c r="D35" t="s">
        <v>18</v>
      </c>
      <c r="E35" t="str">
        <f t="shared" si="1"/>
        <v xml:space="preserve"> -sqrt(8065)/90 - 7/18],</v>
      </c>
      <c r="F35" t="str">
        <f t="shared" si="2"/>
        <v xml:space="preserve"> -sqrt(8065)/90 - 7/18</v>
      </c>
      <c r="G35" s="7">
        <f xml:space="preserve"> -SQRT(8065)/90 - 7/18</f>
        <v>-1.3867260561389765</v>
      </c>
      <c r="H35" s="8"/>
    </row>
    <row r="36" spans="3:8" x14ac:dyDescent="0.35">
      <c r="C36" t="s">
        <v>48</v>
      </c>
      <c r="D36" t="s">
        <v>18</v>
      </c>
      <c r="E36" t="str">
        <f t="shared" si="1"/>
        <v>11/36 - sqrt(8065)/180],</v>
      </c>
      <c r="F36" t="str">
        <f t="shared" si="2"/>
        <v>11/36 - sqrt(8065)/180</v>
      </c>
      <c r="G36" s="7">
        <f>11/36 - SQRT(8065)/180</f>
        <v>-0.19336302806948819</v>
      </c>
      <c r="H36" s="8"/>
    </row>
    <row r="37" spans="3:8" x14ac:dyDescent="0.35">
      <c r="C37" t="s">
        <v>49</v>
      </c>
      <c r="D37" t="s">
        <v>18</v>
      </c>
      <c r="E37" t="str">
        <f>RIGHT(C37,LEN(C37)-FIND("[",C37)-1)</f>
        <v xml:space="preserve">                    1]])]), (sqrt(8065)/2 + 91/2, 1, [Matrix([</v>
      </c>
      <c r="F37" t="str">
        <f t="shared" si="2"/>
        <v xml:space="preserve">                    1</v>
      </c>
      <c r="G37" s="7">
        <f xml:space="preserve">                    1</f>
        <v>1</v>
      </c>
      <c r="H37" s="8"/>
    </row>
    <row r="38" spans="3:8" x14ac:dyDescent="0.35">
      <c r="C38" t="s">
        <v>50</v>
      </c>
      <c r="D38" t="s">
        <v>18</v>
      </c>
      <c r="E38" t="str">
        <f t="shared" si="1"/>
        <v xml:space="preserve"> -7/18 + sqrt(8065)/90],</v>
      </c>
      <c r="F38" t="str">
        <f t="shared" si="2"/>
        <v xml:space="preserve"> -7/18 + sqrt(8065)/90</v>
      </c>
      <c r="G38" s="7">
        <f xml:space="preserve"> -7/18 + SQRT(8065)/90</f>
        <v>0.60894827836119858</v>
      </c>
      <c r="H38" s="8"/>
    </row>
    <row r="39" spans="3:8" x14ac:dyDescent="0.35">
      <c r="C39" t="s">
        <v>51</v>
      </c>
      <c r="D39" t="s">
        <v>18</v>
      </c>
      <c r="E39" t="str">
        <f t="shared" si="1"/>
        <v>11/36 + sqrt(8065)/180],</v>
      </c>
      <c r="F39" t="str">
        <f t="shared" si="2"/>
        <v>11/36 + sqrt(8065)/180</v>
      </c>
      <c r="G39" s="7">
        <f>11/36 + SQRT(8065)/180</f>
        <v>0.8044741391805994</v>
      </c>
      <c r="H39" s="8"/>
    </row>
    <row r="40" spans="3:8" x14ac:dyDescent="0.35">
      <c r="C40" t="s">
        <v>52</v>
      </c>
      <c r="D40" t="s">
        <v>18</v>
      </c>
      <c r="E40" t="str">
        <f t="shared" si="1"/>
        <v xml:space="preserve">                     1]])])]</v>
      </c>
      <c r="F40" t="str">
        <f t="shared" si="2"/>
        <v xml:space="preserve">                     1</v>
      </c>
      <c r="G40" s="7">
        <f xml:space="preserve">                     1</f>
        <v>1</v>
      </c>
      <c r="H40" s="8"/>
    </row>
    <row r="42" spans="3:8" x14ac:dyDescent="0.35">
      <c r="C42" s="4" t="s">
        <v>20</v>
      </c>
      <c r="D42" s="5"/>
      <c r="E42" s="5"/>
    </row>
    <row r="43" spans="3:8" x14ac:dyDescent="0.35">
      <c r="C43" cm="1">
        <f t="array" ref="C43:C45">G38:G40</f>
        <v>0.60894827836119858</v>
      </c>
      <c r="D43" cm="1">
        <f t="array" ref="D43:D45">G35:G37</f>
        <v>-1.3867260561389765</v>
      </c>
      <c r="E43" cm="1">
        <f t="array" ref="E43:E45">G32:G34</f>
        <v>1</v>
      </c>
    </row>
    <row r="44" spans="3:8" x14ac:dyDescent="0.35">
      <c r="C44">
        <v>0.8044741391805994</v>
      </c>
      <c r="D44">
        <v>-0.19336302806948819</v>
      </c>
      <c r="E44">
        <v>-2</v>
      </c>
    </row>
    <row r="45" spans="3:8" x14ac:dyDescent="0.35">
      <c r="C45">
        <v>1</v>
      </c>
      <c r="D45">
        <v>1</v>
      </c>
      <c r="E45">
        <v>1</v>
      </c>
    </row>
    <row r="47" spans="3:8" x14ac:dyDescent="0.35">
      <c r="C47" s="3" t="s">
        <v>17</v>
      </c>
    </row>
    <row r="48" spans="3:8" x14ac:dyDescent="0.35">
      <c r="C48" s="4" t="s">
        <v>12</v>
      </c>
      <c r="D48" s="4" t="s">
        <v>13</v>
      </c>
      <c r="E48" s="4" t="s">
        <v>14</v>
      </c>
    </row>
    <row r="49" spans="3:16" x14ac:dyDescent="0.35">
      <c r="C49" t="str">
        <f>RIGHT(C31,LEN(C31)-FIND("(",C31))</f>
        <v>0, 1, [Matrix([</v>
      </c>
      <c r="D49" t="str">
        <f>LEFT(C49,FIND(",",C49)-1)</f>
        <v>0</v>
      </c>
      <c r="E49">
        <f>0</f>
        <v>0</v>
      </c>
      <c r="F49" s="9" t="s">
        <v>41</v>
      </c>
    </row>
    <row r="50" spans="3:16" x14ac:dyDescent="0.35">
      <c r="C50" t="str">
        <f>RIGHT(C34,LEN(C34)-FIND("(",C34))</f>
        <v>91/2 - sqrt(8065)/2, 1, [Matrix([</v>
      </c>
      <c r="D50" t="str">
        <f>LEFT(C50,FIND(",",C50)-1)</f>
        <v>91/2 - sqrt(8065)/2</v>
      </c>
      <c r="E50">
        <f>91/2 - SQRT(8065)/2</f>
        <v>0.59732747374606276</v>
      </c>
      <c r="F50" s="7"/>
    </row>
    <row r="51" spans="3:16" x14ac:dyDescent="0.35">
      <c r="C51" t="str">
        <f>RIGHT(C37,LEN(C37)-FIND("(",C37))</f>
        <v>sqrt(8065)/2 + 91/2, 1, [Matrix([</v>
      </c>
      <c r="D51" t="str">
        <f>LEFT(C51,FIND(",",C51)-1)</f>
        <v>sqrt(8065)/2 + 91/2</v>
      </c>
      <c r="E51">
        <f>SQRT(8065)/2 + 91/2</f>
        <v>90.402672526253937</v>
      </c>
      <c r="F51" s="7"/>
    </row>
    <row r="53" spans="3:16" x14ac:dyDescent="0.35">
      <c r="C53" s="4" t="s">
        <v>19</v>
      </c>
      <c r="D53" s="5"/>
      <c r="E53" s="5"/>
    </row>
    <row r="54" spans="3:16" x14ac:dyDescent="0.35">
      <c r="C54">
        <f>E51</f>
        <v>90.402672526253937</v>
      </c>
      <c r="D54" s="6">
        <v>0</v>
      </c>
      <c r="E54" s="6">
        <v>0</v>
      </c>
    </row>
    <row r="55" spans="3:16" x14ac:dyDescent="0.35">
      <c r="C55" s="6">
        <v>0</v>
      </c>
      <c r="D55">
        <f>E50</f>
        <v>0.59732747374606276</v>
      </c>
      <c r="E55" s="6">
        <v>0</v>
      </c>
    </row>
    <row r="56" spans="3:16" x14ac:dyDescent="0.35">
      <c r="C56" s="6">
        <v>0</v>
      </c>
      <c r="D56" s="6">
        <v>0</v>
      </c>
      <c r="E56">
        <f>E49</f>
        <v>0</v>
      </c>
    </row>
    <row r="58" spans="3:16" x14ac:dyDescent="0.35">
      <c r="C58" t="s">
        <v>21</v>
      </c>
    </row>
    <row r="59" spans="3:16" x14ac:dyDescent="0.35">
      <c r="C59" s="4" t="s">
        <v>0</v>
      </c>
      <c r="D59" s="4"/>
      <c r="E59" s="4"/>
    </row>
    <row r="60" spans="3:16" x14ac:dyDescent="0.35">
      <c r="C60" cm="1">
        <f t="array" ref="C60:E62">_xlfn.ANCHORARRAY(C17)</f>
        <v>17</v>
      </c>
      <c r="D60">
        <v>22</v>
      </c>
      <c r="E60">
        <v>27</v>
      </c>
    </row>
    <row r="61" spans="3:16" x14ac:dyDescent="0.35">
      <c r="C61">
        <v>22</v>
      </c>
      <c r="D61">
        <v>29</v>
      </c>
      <c r="E61">
        <v>36</v>
      </c>
    </row>
    <row r="62" spans="3:16" x14ac:dyDescent="0.35">
      <c r="C62">
        <v>27</v>
      </c>
      <c r="D62">
        <v>36</v>
      </c>
      <c r="E62">
        <v>45</v>
      </c>
    </row>
    <row r="64" spans="3:16" x14ac:dyDescent="0.35">
      <c r="C64" s="4" t="s">
        <v>6</v>
      </c>
      <c r="D64" s="4"/>
      <c r="E64" s="4"/>
      <c r="G64" s="4" t="s">
        <v>7</v>
      </c>
      <c r="H64" s="4"/>
      <c r="I64" s="4"/>
      <c r="J64" s="4"/>
      <c r="K64" s="4"/>
      <c r="L64" s="4"/>
      <c r="N64" s="4" t="s">
        <v>22</v>
      </c>
      <c r="O64" s="4"/>
      <c r="P64" s="4"/>
    </row>
    <row r="65" spans="3:16" x14ac:dyDescent="0.35">
      <c r="C65" cm="1">
        <f t="array" ref="C65:E67">C43:E45</f>
        <v>0.60894827836119858</v>
      </c>
      <c r="D65">
        <v>-1.3867260561389765</v>
      </c>
      <c r="E65">
        <v>1</v>
      </c>
      <c r="G65" cm="1">
        <f t="array" ref="G65:I67">C54:E56</f>
        <v>90.402672526253937</v>
      </c>
      <c r="H65">
        <v>0</v>
      </c>
      <c r="I65">
        <v>0</v>
      </c>
      <c r="N65" cm="1">
        <f t="array" ref="N65:P67">MINVERSE(_xlfn.ANCHORARRAY(C65))</f>
        <v>0.30175881583788755</v>
      </c>
      <c r="O65">
        <v>0.39864988905896842</v>
      </c>
      <c r="P65">
        <v>0.4955409622800494</v>
      </c>
    </row>
    <row r="66" spans="3:16" x14ac:dyDescent="0.35">
      <c r="C66">
        <v>0.8044741391805994</v>
      </c>
      <c r="D66">
        <v>-0.19336302806948819</v>
      </c>
      <c r="E66">
        <v>-2</v>
      </c>
      <c r="G66">
        <v>0</v>
      </c>
      <c r="H66">
        <v>0.59732747374606276</v>
      </c>
      <c r="I66">
        <v>0</v>
      </c>
      <c r="N66">
        <v>-0.46842548250455429</v>
      </c>
      <c r="O66">
        <v>-6.531655572563512E-2</v>
      </c>
      <c r="P66">
        <v>0.33779237105328402</v>
      </c>
    </row>
    <row r="67" spans="3:16" x14ac:dyDescent="0.35">
      <c r="C67">
        <v>1</v>
      </c>
      <c r="D67">
        <v>1</v>
      </c>
      <c r="E67">
        <v>1</v>
      </c>
      <c r="G67">
        <v>0</v>
      </c>
      <c r="H67">
        <v>0</v>
      </c>
      <c r="I67">
        <v>0</v>
      </c>
      <c r="N67">
        <v>0.16666666666666671</v>
      </c>
      <c r="O67">
        <v>-0.33333333333333331</v>
      </c>
      <c r="P67">
        <v>0.16666666666666666</v>
      </c>
    </row>
    <row r="69" spans="3:16" x14ac:dyDescent="0.35">
      <c r="C69" s="4" t="s">
        <v>23</v>
      </c>
      <c r="D69" s="4"/>
      <c r="E69" s="4"/>
    </row>
    <row r="70" spans="3:16" x14ac:dyDescent="0.35">
      <c r="C70" cm="1">
        <f t="array" ref="C70:E72">MMULT(MMULT(_xlfn.ANCHORARRAY(C65),_xlfn.ANCHORARRAY(G65)),_xlfn.ANCHORARRAY(N65))</f>
        <v>16.999999999999993</v>
      </c>
      <c r="D70">
        <v>21.999999999999996</v>
      </c>
      <c r="E70">
        <v>27.000000000000007</v>
      </c>
    </row>
    <row r="71" spans="3:16" x14ac:dyDescent="0.35">
      <c r="C71">
        <v>21.999999999999996</v>
      </c>
      <c r="D71">
        <v>29.000000000000004</v>
      </c>
      <c r="E71">
        <v>36.000000000000014</v>
      </c>
    </row>
    <row r="72" spans="3:16" x14ac:dyDescent="0.35">
      <c r="C72">
        <v>26.999999999999993</v>
      </c>
      <c r="D72">
        <v>35.999999999999993</v>
      </c>
      <c r="E72">
        <v>45.000000000000014</v>
      </c>
    </row>
    <row r="74" spans="3:16" x14ac:dyDescent="0.35">
      <c r="C74" s="4" t="s">
        <v>24</v>
      </c>
      <c r="D74" s="4"/>
      <c r="E74" s="4"/>
    </row>
    <row r="75" spans="3:16" x14ac:dyDescent="0.35">
      <c r="C75" t="b" cm="1">
        <f t="array" ref="C75:E77">_xlfn.ANCHORARRAY(C60)=_xlfn.ANCHORARRAY(C70)</f>
        <v>1</v>
      </c>
      <c r="D75" t="b">
        <v>1</v>
      </c>
      <c r="E75" t="b">
        <v>1</v>
      </c>
    </row>
    <row r="76" spans="3:16" x14ac:dyDescent="0.35">
      <c r="C76" t="b">
        <v>1</v>
      </c>
      <c r="D76" t="b">
        <v>1</v>
      </c>
      <c r="E76" t="b">
        <v>1</v>
      </c>
    </row>
    <row r="77" spans="3:16" x14ac:dyDescent="0.35">
      <c r="C77" t="b">
        <v>1</v>
      </c>
      <c r="D77" t="b">
        <v>1</v>
      </c>
      <c r="E77" t="b">
        <v>1</v>
      </c>
    </row>
    <row r="79" spans="3:16" x14ac:dyDescent="0.35">
      <c r="C79" t="s">
        <v>25</v>
      </c>
    </row>
    <row r="80" spans="3:16" x14ac:dyDescent="0.35">
      <c r="C80" s="4" t="s">
        <v>6</v>
      </c>
      <c r="D80" s="4"/>
      <c r="E80" s="4"/>
    </row>
    <row r="81" spans="3:7" x14ac:dyDescent="0.35">
      <c r="C81" cm="1">
        <f t="array" ref="C81:E83">_xlfn.ANCHORARRAY(C65)</f>
        <v>0.60894827836119858</v>
      </c>
      <c r="D81">
        <v>-1.3867260561389765</v>
      </c>
      <c r="E81">
        <v>1</v>
      </c>
    </row>
    <row r="82" spans="3:7" x14ac:dyDescent="0.35">
      <c r="C82">
        <v>0.8044741391805994</v>
      </c>
      <c r="D82">
        <v>-0.19336302806948819</v>
      </c>
      <c r="E82">
        <v>-2</v>
      </c>
    </row>
    <row r="83" spans="3:7" x14ac:dyDescent="0.35">
      <c r="C83">
        <v>1</v>
      </c>
      <c r="D83">
        <v>1</v>
      </c>
      <c r="E83">
        <v>1</v>
      </c>
    </row>
    <row r="85" spans="3:7" x14ac:dyDescent="0.35">
      <c r="C85" s="4" t="s">
        <v>26</v>
      </c>
      <c r="D85" s="4"/>
      <c r="E85" s="4"/>
    </row>
    <row r="86" spans="3:7" x14ac:dyDescent="0.35">
      <c r="C86">
        <f>1/SQRT((C81)^2+(C82)^2+(C83)^2)</f>
        <v>0.70394670414744409</v>
      </c>
      <c r="D86">
        <f t="shared" ref="D86:E86" si="3">1/SQRT((D81)^2+(D82)^2+(D83)^2)</f>
        <v>0.58119908039611001</v>
      </c>
      <c r="E86">
        <f t="shared" si="3"/>
        <v>0.40824829046386307</v>
      </c>
    </row>
    <row r="88" spans="3:7" x14ac:dyDescent="0.35">
      <c r="C88" s="3" t="s">
        <v>27</v>
      </c>
    </row>
    <row r="89" spans="3:7" x14ac:dyDescent="0.35">
      <c r="C89" s="4" t="s">
        <v>9</v>
      </c>
      <c r="D89" s="4" t="s">
        <v>10</v>
      </c>
      <c r="E89" s="4" t="s">
        <v>11</v>
      </c>
    </row>
    <row r="90" spans="3:7" x14ac:dyDescent="0.35">
      <c r="C90" cm="1">
        <f t="array" ref="C90:E92">C86:E86*_xlfn.ANCHORARRAY(C81)</f>
        <v>0.42866713354862607</v>
      </c>
      <c r="D90">
        <v>-0.80596390858929756</v>
      </c>
      <c r="E90">
        <v>0.40824829046386307</v>
      </c>
      <c r="G90" cm="1">
        <f t="array" ref="G90:G92">MMULT(_xlfn.ANCHORARRAY(C17),C90:C92)</f>
        <v>38.752654496964411</v>
      </c>
    </row>
    <row r="91" spans="3:7" x14ac:dyDescent="0.35">
      <c r="C91">
        <v>0.56630691884803519</v>
      </c>
      <c r="D91">
        <v>-0.11238241409659375</v>
      </c>
      <c r="E91">
        <v>-0.81649658092772615</v>
      </c>
      <c r="G91">
        <v>51.195658933970783</v>
      </c>
    </row>
    <row r="92" spans="3:7" x14ac:dyDescent="0.35">
      <c r="C92">
        <v>0.70394670414744409</v>
      </c>
      <c r="D92">
        <v>0.58119908039611001</v>
      </c>
      <c r="E92">
        <v>0.40824829046386307</v>
      </c>
      <c r="G92">
        <v>63.638663370977156</v>
      </c>
    </row>
    <row r="94" spans="3:7" x14ac:dyDescent="0.35">
      <c r="C94" s="4" t="s">
        <v>3</v>
      </c>
      <c r="D94" s="4"/>
      <c r="E94" s="4"/>
    </row>
    <row r="95" spans="3:7" x14ac:dyDescent="0.35">
      <c r="C95" cm="1">
        <f t="array" ref="C95:E97">TRANSPOSE(_xlfn.ANCHORARRAY(C90))</f>
        <v>0.42866713354862607</v>
      </c>
      <c r="D95">
        <v>0.56630691884803519</v>
      </c>
      <c r="E95">
        <v>0.70394670414744409</v>
      </c>
    </row>
    <row r="96" spans="3:7" x14ac:dyDescent="0.35">
      <c r="C96">
        <v>-0.80596390858929756</v>
      </c>
      <c r="D96">
        <v>-0.11238241409659375</v>
      </c>
      <c r="E96">
        <v>0.58119908039611001</v>
      </c>
    </row>
    <row r="97" spans="3:5" x14ac:dyDescent="0.35">
      <c r="C97">
        <v>0.40824829046386307</v>
      </c>
      <c r="D97">
        <v>-0.81649658092772615</v>
      </c>
      <c r="E97">
        <v>0.40824829046386307</v>
      </c>
    </row>
    <row r="99" spans="3:5" x14ac:dyDescent="0.35">
      <c r="C99" s="3" t="s">
        <v>28</v>
      </c>
    </row>
    <row r="100" spans="3:5" x14ac:dyDescent="0.35">
      <c r="C100" s="4" t="s">
        <v>29</v>
      </c>
      <c r="D100" s="4" t="s">
        <v>30</v>
      </c>
      <c r="E100" s="4" t="s">
        <v>31</v>
      </c>
    </row>
    <row r="101" spans="3:5" x14ac:dyDescent="0.35">
      <c r="C101">
        <f>C54</f>
        <v>90.402672526253937</v>
      </c>
      <c r="D101">
        <f>D55</f>
        <v>0.59732747374606276</v>
      </c>
      <c r="E101">
        <f>E56</f>
        <v>0</v>
      </c>
    </row>
    <row r="103" spans="3:5" x14ac:dyDescent="0.35">
      <c r="C103" s="4" t="s">
        <v>32</v>
      </c>
      <c r="D103" s="4"/>
      <c r="E103" s="4"/>
    </row>
    <row r="104" spans="3:5" x14ac:dyDescent="0.35">
      <c r="C104">
        <f>IF(C101&gt;0,SQRT(C101),"NA")</f>
        <v>9.5080320006957244</v>
      </c>
      <c r="D104">
        <f t="shared" ref="D104:E104" si="4">IF(D101&gt;0,SQRT(D101),"NA")</f>
        <v>0.77286963567348332</v>
      </c>
      <c r="E104" t="str">
        <f t="shared" si="4"/>
        <v>NA</v>
      </c>
    </row>
    <row r="106" spans="3:5" x14ac:dyDescent="0.35">
      <c r="C106" s="3" t="s">
        <v>33</v>
      </c>
    </row>
    <row r="107" spans="3:5" x14ac:dyDescent="0.35">
      <c r="C107" s="4" t="s">
        <v>34</v>
      </c>
      <c r="D107" s="4"/>
      <c r="E107" s="4"/>
    </row>
    <row r="108" spans="3:5" x14ac:dyDescent="0.35">
      <c r="C108">
        <f>IF(ISNUMBER(C$104),C$104,"")</f>
        <v>9.5080320006957244</v>
      </c>
      <c r="D108">
        <f>IF(ISNUMBER(C108),0,"")</f>
        <v>0</v>
      </c>
      <c r="E108">
        <f>IF(ISNUMBER(D108),0,"")</f>
        <v>0</v>
      </c>
    </row>
    <row r="109" spans="3:5" x14ac:dyDescent="0.35">
      <c r="C109">
        <f>IF(ISNUMBER(D109),0,"")</f>
        <v>0</v>
      </c>
      <c r="D109">
        <f>IF(ISNUMBER(D$104),D$104,"")</f>
        <v>0.77286963567348332</v>
      </c>
      <c r="E109">
        <f>IF(ISNUMBER(D109),0,"")</f>
        <v>0</v>
      </c>
    </row>
    <row r="110" spans="3:5" x14ac:dyDescent="0.35">
      <c r="C110" t="str">
        <f>IF(ISNUMBER(D110),0,"")</f>
        <v/>
      </c>
      <c r="D110" t="str">
        <f>IF(ISNUMBER(E110),0,"")</f>
        <v/>
      </c>
      <c r="E110" t="str">
        <f>IF(ISNUMBER(E$104),E$104,"")</f>
        <v/>
      </c>
    </row>
    <row r="112" spans="3:5" x14ac:dyDescent="0.35">
      <c r="C112" s="3" t="s">
        <v>5</v>
      </c>
    </row>
    <row r="113" spans="3:5" x14ac:dyDescent="0.35">
      <c r="C113" s="4" t="s">
        <v>34</v>
      </c>
      <c r="D113" s="4"/>
      <c r="E113" s="4"/>
    </row>
    <row r="114" spans="3:5" x14ac:dyDescent="0.35">
      <c r="C114" cm="1">
        <f t="array" ref="C114:C115">_xlfn._xlws.FILTER(C108:C110,ISNUMBER(C108:C110)=TRUE)</f>
        <v>9.5080320006957244</v>
      </c>
      <c r="D114" cm="1">
        <f t="array" ref="D114:D115">_xlfn._xlws.FILTER(D108:D110,ISNUMBER(D108:D110)=TRUE)</f>
        <v>0</v>
      </c>
      <c r="E114" cm="1">
        <f t="array" ref="E114:E115">_xlfn._xlws.FILTER(E108:E110,ISNUMBER(E108:E110)=TRUE)</f>
        <v>0</v>
      </c>
    </row>
    <row r="115" spans="3:5" x14ac:dyDescent="0.35">
      <c r="C115">
        <v>0</v>
      </c>
      <c r="D115">
        <v>0.77286963567348332</v>
      </c>
      <c r="E115">
        <v>0</v>
      </c>
    </row>
    <row r="117" spans="3:5" x14ac:dyDescent="0.35">
      <c r="C117" s="3" t="s">
        <v>35</v>
      </c>
      <c r="D117" s="3"/>
      <c r="E117" s="3"/>
    </row>
    <row r="118" spans="3:5" x14ac:dyDescent="0.35">
      <c r="C118" t="s">
        <v>42</v>
      </c>
    </row>
    <row r="119" spans="3:5" x14ac:dyDescent="0.35">
      <c r="C119" t="s">
        <v>40</v>
      </c>
    </row>
    <row r="120" spans="3:5" x14ac:dyDescent="0.35">
      <c r="C120" t="s">
        <v>55</v>
      </c>
    </row>
    <row r="121" spans="3:5" x14ac:dyDescent="0.35">
      <c r="C121" t="s">
        <v>56</v>
      </c>
    </row>
    <row r="123" spans="3:5" x14ac:dyDescent="0.35">
      <c r="C123" s="4" t="s">
        <v>36</v>
      </c>
      <c r="D123" s="4" t="s">
        <v>37</v>
      </c>
      <c r="E123" t="str">
        <f>IF(ISNUMBER(E116),"u3","")</f>
        <v/>
      </c>
    </row>
    <row r="124" spans="3:5" x14ac:dyDescent="0.35">
      <c r="C124" cm="1">
        <f t="array" ref="C124:C125">1/C114*(MMULT(C8:E9,C90:C92))</f>
        <v>0.38631770311861152</v>
      </c>
      <c r="D124" cm="1">
        <f t="array" ref="D124:D125">1/D115*MMULT(C8:E9,D90:D92)</f>
        <v>0.92236578007705905</v>
      </c>
    </row>
    <row r="125" spans="3:5" x14ac:dyDescent="0.35">
      <c r="C125">
        <v>0.92236578007705805</v>
      </c>
      <c r="D125">
        <v>-0.38631770311861247</v>
      </c>
    </row>
    <row r="127" spans="3:5" x14ac:dyDescent="0.35">
      <c r="C127" s="4" t="s">
        <v>38</v>
      </c>
      <c r="D127" s="4"/>
    </row>
    <row r="128" spans="3:5" x14ac:dyDescent="0.35">
      <c r="C128" cm="1">
        <f t="array" ref="C128:D129">C124:D125</f>
        <v>0.38631770311861152</v>
      </c>
      <c r="D128">
        <v>0.92236578007705905</v>
      </c>
    </row>
    <row r="129" spans="3:5" x14ac:dyDescent="0.35">
      <c r="C129">
        <v>0.92236578007705805</v>
      </c>
      <c r="D129">
        <v>-0.38631770311861247</v>
      </c>
    </row>
    <row r="131" spans="3:5" x14ac:dyDescent="0.35">
      <c r="C131" s="4" t="s">
        <v>39</v>
      </c>
      <c r="D131" s="4"/>
      <c r="E131" s="4"/>
    </row>
    <row r="132" spans="3:5" x14ac:dyDescent="0.35">
      <c r="C132" cm="1">
        <f t="array" ref="C132:E133">MMULT(MMULT(_xlfn.ANCHORARRAY(C128),C114:E115),_xlfn.ANCHORARRAY(C95))</f>
        <v>1</v>
      </c>
      <c r="D132">
        <v>2</v>
      </c>
      <c r="E132">
        <v>2.9999999999999991</v>
      </c>
    </row>
    <row r="133" spans="3:5" x14ac:dyDescent="0.35">
      <c r="C133">
        <v>3.9999999999999991</v>
      </c>
      <c r="D133">
        <v>5</v>
      </c>
      <c r="E133">
        <v>5.9999999999999982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SVD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Ernest</dc:creator>
  <cp:lastModifiedBy>Aaron Ernest</cp:lastModifiedBy>
  <dcterms:created xsi:type="dcterms:W3CDTF">2026-07-26T04:01:57Z</dcterms:created>
  <dcterms:modified xsi:type="dcterms:W3CDTF">2026-08-12T00:10:15Z</dcterms:modified>
</cp:coreProperties>
</file>