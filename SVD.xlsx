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a8ac95b515d8bd/Attachments/Desktop/Non Internship/Portfolio Management/Singular Value Decomposition/"/>
    </mc:Choice>
  </mc:AlternateContent>
  <xr:revisionPtr revIDLastSave="248" documentId="8_{711E94EB-1091-4BC6-94E0-67A18A1B8B92}" xr6:coauthVersionLast="47" xr6:coauthVersionMax="47" xr10:uidLastSave="{749B4444-DC99-4431-B444-ED7509A64CC5}"/>
  <bookViews>
    <workbookView xWindow="-110" yWindow="-110" windowWidth="24220" windowHeight="15500" firstSheet="1" activeTab="1" xr2:uid="{30BA5BF2-F5FB-4C6E-9F6F-797629037C40}"/>
  </bookViews>
  <sheets>
    <sheet name="Chart1" sheetId="2" r:id="rId1"/>
    <sheet name="SVD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132" i="1" l="1" a="1"/>
  <c r="C132" i="1" s="1"/>
  <c r="C124" i="1" a="1"/>
  <c r="C124" i="1" s="1"/>
  <c r="C95" i="1" a="1"/>
  <c r="C95" i="1" s="1"/>
  <c r="C90" i="1" a="1"/>
  <c r="C90" i="1" s="1"/>
  <c r="C86" i="1"/>
  <c r="C65" i="1" a="1"/>
  <c r="C65" i="1" s="1"/>
  <c r="E51" i="1"/>
  <c r="E50" i="1"/>
  <c r="E49" i="1"/>
  <c r="G40" i="1"/>
  <c r="G39" i="1"/>
  <c r="G38" i="1"/>
  <c r="G37" i="1"/>
  <c r="G36" i="1"/>
  <c r="G35" i="1"/>
  <c r="G34" i="1"/>
  <c r="E43" i="1" s="1" a="1"/>
  <c r="E43" i="1" s="1"/>
  <c r="G33" i="1"/>
  <c r="G32" i="1"/>
  <c r="E37" i="1"/>
  <c r="C43" i="1" l="1" a="1"/>
  <c r="C43" i="1" s="1"/>
  <c r="E34" i="1"/>
  <c r="F34" i="1" s="1"/>
  <c r="E40" i="1"/>
  <c r="F40" i="1" s="1"/>
  <c r="E39" i="1"/>
  <c r="F39" i="1" s="1"/>
  <c r="E38" i="1"/>
  <c r="F38" i="1" s="1"/>
  <c r="F37" i="1"/>
  <c r="E36" i="1"/>
  <c r="F36" i="1" s="1"/>
  <c r="E35" i="1"/>
  <c r="F35" i="1" s="1"/>
  <c r="E33" i="1"/>
  <c r="F33" i="1" s="1"/>
  <c r="E32" i="1"/>
  <c r="C51" i="1" l="1"/>
  <c r="D51" i="1" s="1"/>
  <c r="C49" i="1"/>
  <c r="D49" i="1" s="1"/>
  <c r="C50" i="1"/>
  <c r="D50" i="1" s="1"/>
  <c r="E123" i="1" l="1"/>
  <c r="D55" i="1"/>
  <c r="D101" i="1" s="1"/>
  <c r="D104" i="1" s="1"/>
  <c r="D109" i="1" s="1"/>
  <c r="F32" i="1"/>
  <c r="E56" i="1"/>
  <c r="E101" i="1" s="1"/>
  <c r="E104" i="1" s="1"/>
  <c r="E110" i="1" s="1"/>
  <c r="D110" i="1" s="1"/>
  <c r="C110" i="1" s="1"/>
  <c r="C54" i="1" l="1"/>
  <c r="C101" i="1" s="1"/>
  <c r="C104" i="1" s="1"/>
  <c r="C108" i="1" s="1"/>
  <c r="D108" i="1" s="1"/>
  <c r="E109" i="1"/>
  <c r="C109" i="1"/>
  <c r="D43" i="1" a="1"/>
  <c r="D43" i="1" s="1"/>
  <c r="C12" i="1" a="1"/>
  <c r="C12" i="1" s="1"/>
  <c r="C17" i="1" s="1" a="1"/>
  <c r="C81" i="1" l="1" a="1"/>
  <c r="C114" i="1" a="1"/>
  <c r="C114" i="1" s="1"/>
  <c r="G65" i="1" a="1"/>
  <c r="G65" i="1" s="1"/>
  <c r="E108" i="1"/>
  <c r="E114" i="1" s="1" a="1"/>
  <c r="E114" i="1" s="1"/>
  <c r="D114" i="1" a="1"/>
  <c r="C17" i="1"/>
  <c r="C22" i="1" s="1"/>
  <c r="C24" i="1"/>
  <c r="C23" i="1"/>
  <c r="C60" i="1" l="1" a="1"/>
  <c r="C60" i="1" s="1"/>
  <c r="D114" i="1"/>
  <c r="E86" i="1"/>
  <c r="D86" i="1"/>
  <c r="C81" i="1"/>
  <c r="N65" i="1" a="1"/>
  <c r="N65" i="1" s="1"/>
  <c r="C27" i="1"/>
  <c r="D124" i="1" l="1" a="1"/>
  <c r="D124" i="1" s="1"/>
  <c r="C70" i="1" a="1"/>
  <c r="C70" i="1" s="1"/>
  <c r="C75" i="1" l="1" a="1"/>
  <c r="C75" i="1" s="1"/>
  <c r="C128" i="1" l="1" a="1"/>
  <c r="C12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<sst xmlns="http://schemas.openxmlformats.org/spreadsheetml/2006/main" count="102" uniqueCount="60">
  <si>
    <t>A</t>
  </si>
  <si>
    <t>A^T</t>
  </si>
  <si>
    <t>A^T*A</t>
  </si>
  <si>
    <t>V^T</t>
  </si>
  <si>
    <t>cleaned</t>
  </si>
  <si>
    <t>P</t>
  </si>
  <si>
    <t>D</t>
  </si>
  <si>
    <t>[(0, 1, [Matrix([</t>
  </si>
  <si>
    <t>v1</t>
  </si>
  <si>
    <t>v2</t>
  </si>
  <si>
    <t>v3</t>
  </si>
  <si>
    <t>right</t>
  </si>
  <si>
    <t>left</t>
  </si>
  <si>
    <t>clean</t>
  </si>
  <si>
    <t>paste diagonal</t>
  </si>
  <si>
    <t>Isolated eigen vectors</t>
  </si>
  <si>
    <t>Isolated eigen values</t>
  </si>
  <si>
    <t>|</t>
  </si>
  <si>
    <t>eigen values (D)</t>
  </si>
  <si>
    <t>eigen vector matrix (P)</t>
  </si>
  <si>
    <t>A = PDP^-1 check</t>
  </si>
  <si>
    <t>P^-1</t>
  </si>
  <si>
    <t>PDP^-1</t>
  </si>
  <si>
    <t>Check</t>
  </si>
  <si>
    <t>Scalars to return P to A</t>
  </si>
  <si>
    <t>1/ magnitude of vector cols</t>
  </si>
  <si>
    <t>Singular values (square roots of eigen values &gt; 0)</t>
  </si>
  <si>
    <t>eigen value 1</t>
  </si>
  <si>
    <t>eigen value 2</t>
  </si>
  <si>
    <t>eigen value 3</t>
  </si>
  <si>
    <t>singular values</t>
  </si>
  <si>
    <t>construct diagonal matrix using singular values</t>
  </si>
  <si>
    <t>singular value matrix (Σ)</t>
  </si>
  <si>
    <t>Find U</t>
  </si>
  <si>
    <t>u1</t>
  </si>
  <si>
    <t>u2</t>
  </si>
  <si>
    <t>matrix U</t>
  </si>
  <si>
    <t>AV = UΣ because V*V^T = I</t>
  </si>
  <si>
    <t>equals text of "left" output</t>
  </si>
  <si>
    <t>Since A = UΣV^T</t>
  </si>
  <si>
    <t>{91/2 - sqrt(8065)/2: 1, sqrt(8065)/2 + 91/2: 1, 0: 1}</t>
  </si>
  <si>
    <t>[ 1],</t>
  </si>
  <si>
    <t>[-2],</t>
  </si>
  <si>
    <t>[ 1]])]), (91/2 - sqrt(8065)/2, 1, [Matrix([</t>
  </si>
  <si>
    <t>[ -sqrt(8065)/90 - 7/18],</t>
  </si>
  <si>
    <t>[11/36 - sqrt(8065)/180],</t>
  </si>
  <si>
    <t>[                     1]])]), (sqrt(8065)/2 + 91/2, 1, [Matrix([</t>
  </si>
  <si>
    <t>[ -7/18 + sqrt(8065)/90],</t>
  </si>
  <si>
    <t>[11/36 + sqrt(8065)/180],</t>
  </si>
  <si>
    <t>[                     1]])])]</t>
  </si>
  <si>
    <t>SVD</t>
  </si>
  <si>
    <t>thus AV1 * (1 / SigmaV1) = U1</t>
  </si>
  <si>
    <t>and AV2 * (1 / SigmaV2) = U2</t>
  </si>
  <si>
    <t>text join</t>
  </si>
  <si>
    <t>Paste the text-joined matrix in cell C27 in place of the row for the Python file titled "diagonalization"</t>
  </si>
  <si>
    <t>Check A = UΣV^T</t>
  </si>
  <si>
    <t>Unit eigen vectors (V)</t>
  </si>
  <si>
    <t>Non-macro-enabled workbooks can't evaluate text. Paste the value in cells to the left of the yellow-highlighted range in a txt file, then copy and paste into the yellow-highlighted range</t>
  </si>
  <si>
    <t>x</t>
  </si>
  <si>
    <t>paste into line 4 of "diagonalization.py"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</si>
</sst>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3" xfId="0" applyFont="1" applyBorder="1"/>
    <xf numFmtId="0" fontId="1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3" borderId="0" xfId="0" applyFont="1" applyFill="1"/>
    <xf numFmtId="0" fontId="1" fillId="2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B0-43AF-A484-5838BAC63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6387504"/>
        <c:axId val="1888989552"/>
      </c:barChart>
      <c:catAx>
        <c:axId val="18663875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989552"/>
        <c:crosses val="autoZero"/>
        <c:auto val="1"/>
        <c:lblAlgn val="ctr"/>
        <c:lblOffset val="100"/>
        <c:noMultiLvlLbl val="0"/>
      </c:catAx>
      <c:valAx>
        <c:axId val="188898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387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B408A9D-70C9-4890-A200-ADA14465704D}">
  <sheetPr codeName="Chart1"/>
  <sheetViews>
    <sheetView zoomScale="8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43471" cy="628276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BB03DB-7396-B2E0-C52E-AE80E46C6B7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CFA14-C2FC-4B9D-BE5D-94AA300BB9E5}">
  <sheetPr codeName="Sheet2"/>
  <dimension ref="A2:S133"/>
  <sheetViews>
    <sheetView showGridLines="0" tabSelected="1" zoomScale="116" workbookViewId="0"/>
  </sheetViews>
  <sheetFormatPr defaultRowHeight="12.5" x14ac:dyDescent="0.25"/>
  <cols>
    <col min="1" max="2" width="1.6328125" style="1" customWidth="1"/>
    <col min="3" max="6" width="8.7265625" style="1"/>
    <col min="7" max="7" width="10.54296875" style="1" bestFit="1" customWidth="1"/>
    <col min="8" max="8" width="9.36328125" style="1" bestFit="1" customWidth="1"/>
    <col min="9" max="15" width="9.36328125" style="1" customWidth="1"/>
    <col min="16" max="16384" width="8.7265625" style="1"/>
  </cols>
  <sheetData>
    <row r="2" spans="1:19" ht="13" x14ac:dyDescent="0.3">
      <c r="C2" s="2" t="s">
        <v>50</v>
      </c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</row>
    <row r="3" spans="1:19" ht="5" customHeight="1" x14ac:dyDescent="0.25"/>
    <row r="4" spans="1:19" x14ac:dyDescent="0.25">
      <c r="A4" s="1" t="s">
        <v>58</v>
      </c>
      <c r="C4" s="1" t="s">
        <v>57</v>
      </c>
    </row>
    <row r="5" spans="1:19" x14ac:dyDescent="0.25">
      <c r="C5" s="1" t="s">
        <v>54</v>
      </c>
    </row>
    <row r="7" spans="1:19" ht="13" x14ac:dyDescent="0.3">
      <c r="C7" s="4" t="s">
        <v>0</v>
      </c>
    </row>
    <row r="8" spans="1:19" x14ac:dyDescent="0.25">
      <c r="A8" s="1" t="s">
        <v>58</v>
      </c>
      <c r="C8" s="5">
        <v>1</v>
      </c>
      <c r="D8" s="1">
        <v>2</v>
      </c>
      <c r="E8" s="6">
        <v>3</v>
      </c>
    </row>
    <row r="9" spans="1:19" x14ac:dyDescent="0.25">
      <c r="C9" s="5">
        <v>4</v>
      </c>
      <c r="D9" s="1">
        <v>5</v>
      </c>
      <c r="E9" s="6">
        <v>6</v>
      </c>
    </row>
    <row r="11" spans="1:19" ht="13" x14ac:dyDescent="0.3">
      <c r="C11" s="4" t="s">
        <v>1</v>
      </c>
    </row>
    <row r="12" spans="1:19" x14ac:dyDescent="0.25">
      <c r="A12" s="1" t="s">
        <v>58</v>
      </c>
      <c r="C12" s="5" cm="1">
        <f t="array" ref="C12:D14">TRANSPOSE(C8:E9)</f>
        <v>1</v>
      </c>
      <c r="D12" s="6">
        <v>4</v>
      </c>
    </row>
    <row r="13" spans="1:19" x14ac:dyDescent="0.25">
      <c r="C13" s="5">
        <v>2</v>
      </c>
      <c r="D13" s="6">
        <v>5</v>
      </c>
    </row>
    <row r="14" spans="1:19" x14ac:dyDescent="0.25">
      <c r="C14" s="5">
        <v>3</v>
      </c>
      <c r="D14" s="6">
        <v>6</v>
      </c>
    </row>
    <row r="16" spans="1:19" ht="13" x14ac:dyDescent="0.3">
      <c r="C16" s="4" t="s">
        <v>2</v>
      </c>
    </row>
    <row r="17" spans="1:7" x14ac:dyDescent="0.25">
      <c r="A17" s="1" t="s">
        <v>58</v>
      </c>
      <c r="C17" s="5" cm="1">
        <f t="array" ref="C17:E19">MMULT(C12:D14,C8:E9)</f>
        <v>17</v>
      </c>
      <c r="D17" s="1">
        <v>22</v>
      </c>
      <c r="E17" s="6">
        <v>27</v>
      </c>
    </row>
    <row r="18" spans="1:7" x14ac:dyDescent="0.25">
      <c r="C18" s="5">
        <v>22</v>
      </c>
      <c r="D18" s="1">
        <v>29</v>
      </c>
      <c r="E18" s="6">
        <v>36</v>
      </c>
    </row>
    <row r="19" spans="1:7" x14ac:dyDescent="0.25">
      <c r="C19" s="5">
        <v>27</v>
      </c>
      <c r="D19" s="1">
        <v>36</v>
      </c>
      <c r="E19" s="6">
        <v>45</v>
      </c>
    </row>
    <row r="21" spans="1:7" ht="13" x14ac:dyDescent="0.3">
      <c r="C21" s="4" t="s">
        <v>53</v>
      </c>
    </row>
    <row r="22" spans="1:7" x14ac:dyDescent="0.25">
      <c r="A22" s="1" t="s">
        <v>58</v>
      </c>
      <c r="C22" s="1" t="str">
        <f>_xlfn.TEXTJOIN(",",,C17:E17)</f>
        <v>17,22,27</v>
      </c>
    </row>
    <row r="23" spans="1:7" x14ac:dyDescent="0.25">
      <c r="C23" s="1" t="str">
        <f t="shared" ref="C23:C24" si="0">_xlfn.TEXTJOIN(",",,C18:E18)</f>
        <v>22,29,36</v>
      </c>
    </row>
    <row r="24" spans="1:7" x14ac:dyDescent="0.25">
      <c r="C24" s="1" t="str">
        <f t="shared" si="0"/>
        <v>27,36,45</v>
      </c>
    </row>
    <row r="26" spans="1:7" ht="13" x14ac:dyDescent="0.3">
      <c r="C26" s="4" t="s">
        <v>59</v>
      </c>
    </row>
    <row r="27" spans="1:7" x14ac:dyDescent="0.25">
      <c r="A27" s="1" t="s">
        <v>58</v>
      </c>
      <c r="C27" s="1" t="str">
        <f>"A = Matrix([["&amp;C22&amp;"],["&amp;C23&amp;"],["&amp;C24&amp;"],])"</f>
        <v>A = Matrix([[17,22,27],[22,29,36],[27,36,45],])</v>
      </c>
    </row>
    <row r="29" spans="1:7" ht="13" x14ac:dyDescent="0.3">
      <c r="C29" s="4" t="s">
        <v>14</v>
      </c>
      <c r="D29" s="4"/>
      <c r="E29" s="4" t="s">
        <v>15</v>
      </c>
    </row>
    <row r="30" spans="1:7" ht="13" x14ac:dyDescent="0.3">
      <c r="A30" s="1" t="s">
        <v>58</v>
      </c>
      <c r="C30" s="1" t="s">
        <v>40</v>
      </c>
      <c r="D30" s="1" t="s">
        <v>17</v>
      </c>
      <c r="E30" s="2" t="s">
        <v>11</v>
      </c>
      <c r="F30" s="2" t="s">
        <v>12</v>
      </c>
      <c r="G30" s="2" t="s">
        <v>13</v>
      </c>
    </row>
    <row r="31" spans="1:7" x14ac:dyDescent="0.25">
      <c r="C31" s="1" t="s">
        <v>7</v>
      </c>
      <c r="D31" s="1" t="s">
        <v>17</v>
      </c>
      <c r="G31" s="7" t="s">
        <v>38</v>
      </c>
    </row>
    <row r="32" spans="1:7" x14ac:dyDescent="0.25">
      <c r="C32" s="1" t="s">
        <v>41</v>
      </c>
      <c r="D32" s="1" t="s">
        <v>17</v>
      </c>
      <c r="E32" s="1" t="str">
        <f>RIGHT(C32,LEN(C32)-FIND("[",C32))</f>
        <v xml:space="preserve"> 1],</v>
      </c>
      <c r="F32" s="1" t="str">
        <f>LEFT(E32,FIND("]",E32)-1)</f>
        <v xml:space="preserve"> 1</v>
      </c>
      <c r="G32" s="8">
        <f xml:space="preserve"> 1</f>
        <v>1</v>
      </c>
    </row>
    <row r="33" spans="1:7" x14ac:dyDescent="0.25">
      <c r="C33" s="1" t="s">
        <v>42</v>
      </c>
      <c r="D33" s="1" t="s">
        <v>17</v>
      </c>
      <c r="E33" s="1" t="str">
        <f t="shared" ref="E33:E40" si="1">RIGHT(C33,LEN(C33)-FIND("[",C33))</f>
        <v>-2],</v>
      </c>
      <c r="F33" s="1" t="str">
        <f t="shared" ref="F33:F40" si="2">LEFT(E33,FIND("]",E33)-1)</f>
        <v>-2</v>
      </c>
      <c r="G33" s="8">
        <f>-2</f>
        <v>-2</v>
      </c>
    </row>
    <row r="34" spans="1:7" x14ac:dyDescent="0.25">
      <c r="C34" s="1" t="s">
        <v>43</v>
      </c>
      <c r="D34" s="1" t="s">
        <v>17</v>
      </c>
      <c r="E34" s="1" t="str">
        <f>RIGHT(C34,LEN(C34)-FIND("[",C34))</f>
        <v xml:space="preserve"> 1]])]), (91/2 - sqrt(8065)/2, 1, [Matrix([</v>
      </c>
      <c r="F34" s="1" t="str">
        <f t="shared" si="2"/>
        <v xml:space="preserve"> 1</v>
      </c>
      <c r="G34" s="8">
        <f xml:space="preserve"> 1</f>
        <v>1</v>
      </c>
    </row>
    <row r="35" spans="1:7" x14ac:dyDescent="0.25">
      <c r="C35" s="1" t="s">
        <v>44</v>
      </c>
      <c r="D35" s="1" t="s">
        <v>17</v>
      </c>
      <c r="E35" s="1" t="str">
        <f t="shared" si="1"/>
        <v xml:space="preserve"> -sqrt(8065)/90 - 7/18],</v>
      </c>
      <c r="F35" s="1" t="str">
        <f t="shared" si="2"/>
        <v xml:space="preserve"> -sqrt(8065)/90 - 7/18</v>
      </c>
      <c r="G35" s="8">
        <f xml:space="preserve"> -SQRT(8065)/90 - 7/18</f>
        <v>-1.3867260561389765</v>
      </c>
    </row>
    <row r="36" spans="1:7" x14ac:dyDescent="0.25">
      <c r="C36" s="1" t="s">
        <v>45</v>
      </c>
      <c r="D36" s="1" t="s">
        <v>17</v>
      </c>
      <c r="E36" s="1" t="str">
        <f t="shared" si="1"/>
        <v>11/36 - sqrt(8065)/180],</v>
      </c>
      <c r="F36" s="1" t="str">
        <f t="shared" si="2"/>
        <v>11/36 - sqrt(8065)/180</v>
      </c>
      <c r="G36" s="8">
        <f>11/36 - SQRT(8065)/180</f>
        <v>-0.19336302806948819</v>
      </c>
    </row>
    <row r="37" spans="1:7" x14ac:dyDescent="0.25">
      <c r="C37" s="1" t="s">
        <v>46</v>
      </c>
      <c r="D37" s="1" t="s">
        <v>17</v>
      </c>
      <c r="E37" s="1" t="str">
        <f>RIGHT(C37,LEN(C37)-FIND("[",C37)-1)</f>
        <v xml:space="preserve">                    1]])]), (sqrt(8065)/2 + 91/2, 1, [Matrix([</v>
      </c>
      <c r="F37" s="1" t="str">
        <f t="shared" si="2"/>
        <v xml:space="preserve">                    1</v>
      </c>
      <c r="G37" s="8">
        <f xml:space="preserve">                    1</f>
        <v>1</v>
      </c>
    </row>
    <row r="38" spans="1:7" x14ac:dyDescent="0.25">
      <c r="C38" s="1" t="s">
        <v>47</v>
      </c>
      <c r="D38" s="1" t="s">
        <v>17</v>
      </c>
      <c r="E38" s="1" t="str">
        <f t="shared" si="1"/>
        <v xml:space="preserve"> -7/18 + sqrt(8065)/90],</v>
      </c>
      <c r="F38" s="1" t="str">
        <f t="shared" si="2"/>
        <v xml:space="preserve"> -7/18 + sqrt(8065)/90</v>
      </c>
      <c r="G38" s="8">
        <f xml:space="preserve"> -7/18 + SQRT(8065)/90</f>
        <v>0.60894827836119858</v>
      </c>
    </row>
    <row r="39" spans="1:7" x14ac:dyDescent="0.25">
      <c r="C39" s="1" t="s">
        <v>48</v>
      </c>
      <c r="D39" s="1" t="s">
        <v>17</v>
      </c>
      <c r="E39" s="1" t="str">
        <f t="shared" si="1"/>
        <v>11/36 + sqrt(8065)/180],</v>
      </c>
      <c r="F39" s="1" t="str">
        <f t="shared" si="2"/>
        <v>11/36 + sqrt(8065)/180</v>
      </c>
      <c r="G39" s="8">
        <f>11/36 + SQRT(8065)/180</f>
        <v>0.8044741391805994</v>
      </c>
    </row>
    <row r="40" spans="1:7" x14ac:dyDescent="0.25">
      <c r="C40" s="1" t="s">
        <v>49</v>
      </c>
      <c r="D40" s="1" t="s">
        <v>17</v>
      </c>
      <c r="E40" s="1" t="str">
        <f t="shared" si="1"/>
        <v xml:space="preserve">                     1]])])]</v>
      </c>
      <c r="F40" s="1" t="str">
        <f t="shared" si="2"/>
        <v xml:space="preserve">                     1</v>
      </c>
      <c r="G40" s="8">
        <f xml:space="preserve">                     1</f>
        <v>1</v>
      </c>
    </row>
    <row r="42" spans="1:7" ht="13" x14ac:dyDescent="0.3">
      <c r="C42" s="2" t="s">
        <v>19</v>
      </c>
      <c r="D42" s="3"/>
      <c r="E42" s="3"/>
    </row>
    <row r="43" spans="1:7" x14ac:dyDescent="0.25">
      <c r="A43" s="1" t="s">
        <v>58</v>
      </c>
      <c r="C43" s="1" cm="1">
        <f t="array" ref="C43:C45">G38:G40</f>
        <v>0.60894827836119858</v>
      </c>
      <c r="D43" s="1" cm="1">
        <f t="array" ref="D43:D45">G35:G37</f>
        <v>-1.3867260561389765</v>
      </c>
      <c r="E43" s="1" cm="1">
        <f t="array" ref="E43:E45">G32:G34</f>
        <v>1</v>
      </c>
    </row>
    <row r="44" spans="1:7" x14ac:dyDescent="0.25">
      <c r="C44" s="1">
        <v>0.8044741391805994</v>
      </c>
      <c r="D44" s="1">
        <v>-0.19336302806948819</v>
      </c>
      <c r="E44" s="1">
        <v>-2</v>
      </c>
    </row>
    <row r="45" spans="1:7" x14ac:dyDescent="0.25">
      <c r="C45" s="1">
        <v>1</v>
      </c>
      <c r="D45" s="1">
        <v>1</v>
      </c>
      <c r="E45" s="1">
        <v>1</v>
      </c>
    </row>
    <row r="47" spans="1:7" ht="13" x14ac:dyDescent="0.3">
      <c r="C47" s="4" t="s">
        <v>16</v>
      </c>
    </row>
    <row r="48" spans="1:7" ht="13" x14ac:dyDescent="0.3">
      <c r="C48" s="2" t="s">
        <v>11</v>
      </c>
      <c r="D48" s="2" t="s">
        <v>12</v>
      </c>
      <c r="E48" s="2" t="s">
        <v>13</v>
      </c>
    </row>
    <row r="49" spans="1:16" x14ac:dyDescent="0.25">
      <c r="A49" s="1" t="s">
        <v>58</v>
      </c>
      <c r="C49" s="1" t="str">
        <f>RIGHT(C31,LEN(C31)-FIND("(",C31))</f>
        <v>0, 1, [Matrix([</v>
      </c>
      <c r="D49" s="1" t="str">
        <f>LEFT(C49,FIND(",",C49)-1)</f>
        <v>0</v>
      </c>
      <c r="E49" s="1">
        <f>0</f>
        <v>0</v>
      </c>
      <c r="F49" s="7" t="s">
        <v>38</v>
      </c>
    </row>
    <row r="50" spans="1:16" x14ac:dyDescent="0.25">
      <c r="C50" s="1" t="str">
        <f>RIGHT(C34,LEN(C34)-FIND("(",C34))</f>
        <v>91/2 - sqrt(8065)/2, 1, [Matrix([</v>
      </c>
      <c r="D50" s="1" t="str">
        <f>LEFT(C50,FIND(",",C50)-1)</f>
        <v>91/2 - sqrt(8065)/2</v>
      </c>
      <c r="E50" s="1">
        <f>91/2 - SQRT(8065)/2</f>
        <v>0.59732747374606276</v>
      </c>
      <c r="F50" s="8"/>
    </row>
    <row r="51" spans="1:16" x14ac:dyDescent="0.25">
      <c r="C51" s="1" t="str">
        <f>RIGHT(C37,LEN(C37)-FIND("(",C37))</f>
        <v>sqrt(8065)/2 + 91/2, 1, [Matrix([</v>
      </c>
      <c r="D51" s="1" t="str">
        <f>LEFT(C51,FIND(",",C51)-1)</f>
        <v>sqrt(8065)/2 + 91/2</v>
      </c>
      <c r="E51" s="1">
        <f>SQRT(8065)/2 + 91/2</f>
        <v>90.402672526253937</v>
      </c>
      <c r="F51" s="8"/>
    </row>
    <row r="53" spans="1:16" ht="13" x14ac:dyDescent="0.3">
      <c r="C53" s="2" t="s">
        <v>18</v>
      </c>
      <c r="D53" s="3"/>
      <c r="E53" s="3"/>
    </row>
    <row r="54" spans="1:16" x14ac:dyDescent="0.25">
      <c r="A54" s="1" t="s">
        <v>58</v>
      </c>
      <c r="C54" s="1">
        <f>E51</f>
        <v>90.402672526253937</v>
      </c>
      <c r="D54" s="9">
        <v>0</v>
      </c>
      <c r="E54" s="9">
        <v>0</v>
      </c>
    </row>
    <row r="55" spans="1:16" x14ac:dyDescent="0.25">
      <c r="C55" s="9">
        <v>0</v>
      </c>
      <c r="D55" s="1">
        <f>E50</f>
        <v>0.59732747374606276</v>
      </c>
      <c r="E55" s="9">
        <v>0</v>
      </c>
    </row>
    <row r="56" spans="1:16" x14ac:dyDescent="0.25">
      <c r="C56" s="9">
        <v>0</v>
      </c>
      <c r="D56" s="9">
        <v>0</v>
      </c>
      <c r="E56" s="1">
        <f>E49</f>
        <v>0</v>
      </c>
    </row>
    <row r="58" spans="1:16" ht="13" x14ac:dyDescent="0.3">
      <c r="C58" s="4" t="s">
        <v>20</v>
      </c>
    </row>
    <row r="59" spans="1:16" ht="13" x14ac:dyDescent="0.3">
      <c r="C59" s="2" t="s">
        <v>0</v>
      </c>
      <c r="D59" s="2"/>
      <c r="E59" s="2"/>
    </row>
    <row r="60" spans="1:16" x14ac:dyDescent="0.25">
      <c r="A60" s="1" t="s">
        <v>58</v>
      </c>
      <c r="C60" s="1" cm="1">
        <f t="array" ref="C60:E62">_xlfn.ANCHORARRAY(C17)</f>
        <v>17</v>
      </c>
      <c r="D60" s="1">
        <v>22</v>
      </c>
      <c r="E60" s="1">
        <v>27</v>
      </c>
    </row>
    <row r="61" spans="1:16" x14ac:dyDescent="0.25">
      <c r="C61" s="1">
        <v>22</v>
      </c>
      <c r="D61" s="1">
        <v>29</v>
      </c>
      <c r="E61" s="1">
        <v>36</v>
      </c>
    </row>
    <row r="62" spans="1:16" x14ac:dyDescent="0.25">
      <c r="C62" s="1">
        <v>27</v>
      </c>
      <c r="D62" s="1">
        <v>36</v>
      </c>
      <c r="E62" s="1">
        <v>45</v>
      </c>
    </row>
    <row r="64" spans="1:16" ht="13" x14ac:dyDescent="0.3">
      <c r="C64" s="2" t="s">
        <v>5</v>
      </c>
      <c r="D64" s="2"/>
      <c r="E64" s="2"/>
      <c r="G64" s="2" t="s">
        <v>6</v>
      </c>
      <c r="H64" s="2"/>
      <c r="I64" s="2"/>
      <c r="J64" s="2"/>
      <c r="K64" s="2"/>
      <c r="L64" s="2"/>
      <c r="N64" s="2" t="s">
        <v>21</v>
      </c>
      <c r="O64" s="2"/>
      <c r="P64" s="2"/>
    </row>
    <row r="65" spans="1:16" x14ac:dyDescent="0.25">
      <c r="A65" s="1" t="s">
        <v>58</v>
      </c>
      <c r="C65" s="1" cm="1">
        <f t="array" ref="C65:E67">C43:E45</f>
        <v>0.60894827836119858</v>
      </c>
      <c r="D65" s="1">
        <v>-1.3867260561389765</v>
      </c>
      <c r="E65" s="1">
        <v>1</v>
      </c>
      <c r="G65" s="1" cm="1">
        <f t="array" ref="G65:I67">C54:E56</f>
        <v>90.402672526253937</v>
      </c>
      <c r="H65" s="1">
        <v>0</v>
      </c>
      <c r="I65" s="1">
        <v>0</v>
      </c>
      <c r="N65" s="1" cm="1">
        <f t="array" ref="N65:P67">MINVERSE(_xlfn.ANCHORARRAY(C65))</f>
        <v>0.30175881583788755</v>
      </c>
      <c r="O65" s="1">
        <v>0.39864988905896842</v>
      </c>
      <c r="P65" s="1">
        <v>0.4955409622800494</v>
      </c>
    </row>
    <row r="66" spans="1:16" x14ac:dyDescent="0.25">
      <c r="C66" s="1">
        <v>0.8044741391805994</v>
      </c>
      <c r="D66" s="1">
        <v>-0.19336302806948819</v>
      </c>
      <c r="E66" s="1">
        <v>-2</v>
      </c>
      <c r="G66" s="1">
        <v>0</v>
      </c>
      <c r="H66" s="1">
        <v>0.59732747374606276</v>
      </c>
      <c r="I66" s="1">
        <v>0</v>
      </c>
      <c r="N66" s="1">
        <v>-0.46842548250455429</v>
      </c>
      <c r="O66" s="1">
        <v>-6.531655572563512E-2</v>
      </c>
      <c r="P66" s="1">
        <v>0.33779237105328402</v>
      </c>
    </row>
    <row r="67" spans="1:16" x14ac:dyDescent="0.25">
      <c r="C67" s="1">
        <v>1</v>
      </c>
      <c r="D67" s="1">
        <v>1</v>
      </c>
      <c r="E67" s="1">
        <v>1</v>
      </c>
      <c r="G67" s="1">
        <v>0</v>
      </c>
      <c r="H67" s="1">
        <v>0</v>
      </c>
      <c r="I67" s="1">
        <v>0</v>
      </c>
      <c r="N67" s="1">
        <v>0.16666666666666671</v>
      </c>
      <c r="O67" s="1">
        <v>-0.33333333333333331</v>
      </c>
      <c r="P67" s="1">
        <v>0.16666666666666666</v>
      </c>
    </row>
    <row r="69" spans="1:16" ht="13" x14ac:dyDescent="0.3">
      <c r="C69" s="2" t="s">
        <v>22</v>
      </c>
      <c r="D69" s="2"/>
      <c r="E69" s="2"/>
    </row>
    <row r="70" spans="1:16" x14ac:dyDescent="0.25">
      <c r="A70" s="1" t="s">
        <v>58</v>
      </c>
      <c r="C70" s="1" cm="1">
        <f t="array" ref="C70:E72">MMULT(MMULT(_xlfn.ANCHORARRAY(C65),_xlfn.ANCHORARRAY(G65)),_xlfn.ANCHORARRAY(N65))</f>
        <v>16.999999999999993</v>
      </c>
      <c r="D70" s="1">
        <v>21.999999999999996</v>
      </c>
      <c r="E70" s="1">
        <v>27.000000000000007</v>
      </c>
    </row>
    <row r="71" spans="1:16" x14ac:dyDescent="0.25">
      <c r="C71" s="1">
        <v>21.999999999999996</v>
      </c>
      <c r="D71" s="1">
        <v>29.000000000000004</v>
      </c>
      <c r="E71" s="1">
        <v>36.000000000000014</v>
      </c>
    </row>
    <row r="72" spans="1:16" x14ac:dyDescent="0.25">
      <c r="C72" s="1">
        <v>26.999999999999993</v>
      </c>
      <c r="D72" s="1">
        <v>35.999999999999993</v>
      </c>
      <c r="E72" s="1">
        <v>45.000000000000014</v>
      </c>
    </row>
    <row r="74" spans="1:16" ht="13" x14ac:dyDescent="0.3">
      <c r="C74" s="2" t="s">
        <v>23</v>
      </c>
      <c r="D74" s="2"/>
      <c r="E74" s="2"/>
    </row>
    <row r="75" spans="1:16" x14ac:dyDescent="0.25">
      <c r="A75" s="1" t="s">
        <v>58</v>
      </c>
      <c r="C75" s="1" t="b" cm="1">
        <f t="array" ref="C75:E77">_xlfn.ANCHORARRAY(C60)=_xlfn.ANCHORARRAY(C70)</f>
        <v>1</v>
      </c>
      <c r="D75" s="1" t="b">
        <v>1</v>
      </c>
      <c r="E75" s="1" t="b">
        <v>1</v>
      </c>
    </row>
    <row r="76" spans="1:16" x14ac:dyDescent="0.25">
      <c r="C76" s="1" t="b">
        <v>1</v>
      </c>
      <c r="D76" s="1" t="b">
        <v>1</v>
      </c>
      <c r="E76" s="1" t="b">
        <v>1</v>
      </c>
    </row>
    <row r="77" spans="1:16" x14ac:dyDescent="0.25">
      <c r="C77" s="1" t="b">
        <v>1</v>
      </c>
      <c r="D77" s="1" t="b">
        <v>1</v>
      </c>
      <c r="E77" s="1" t="b">
        <v>1</v>
      </c>
    </row>
    <row r="79" spans="1:16" ht="13" x14ac:dyDescent="0.3">
      <c r="C79" s="4" t="s">
        <v>24</v>
      </c>
    </row>
    <row r="80" spans="1:16" ht="13" x14ac:dyDescent="0.3">
      <c r="C80" s="2" t="s">
        <v>5</v>
      </c>
      <c r="D80" s="2"/>
      <c r="E80" s="2"/>
    </row>
    <row r="81" spans="1:5" x14ac:dyDescent="0.25">
      <c r="A81" s="1" t="s">
        <v>58</v>
      </c>
      <c r="C81" s="1" cm="1">
        <f t="array" ref="C81:E83">_xlfn.ANCHORARRAY(C65)</f>
        <v>0.60894827836119858</v>
      </c>
      <c r="D81" s="1">
        <v>-1.3867260561389765</v>
      </c>
      <c r="E81" s="1">
        <v>1</v>
      </c>
    </row>
    <row r="82" spans="1:5" x14ac:dyDescent="0.25">
      <c r="C82" s="1">
        <v>0.8044741391805994</v>
      </c>
      <c r="D82" s="1">
        <v>-0.19336302806948819</v>
      </c>
      <c r="E82" s="1">
        <v>-2</v>
      </c>
    </row>
    <row r="83" spans="1:5" x14ac:dyDescent="0.25">
      <c r="C83" s="1">
        <v>1</v>
      </c>
      <c r="D83" s="1">
        <v>1</v>
      </c>
      <c r="E83" s="1">
        <v>1</v>
      </c>
    </row>
    <row r="85" spans="1:5" ht="13" x14ac:dyDescent="0.3">
      <c r="C85" s="2" t="s">
        <v>25</v>
      </c>
      <c r="D85" s="2"/>
      <c r="E85" s="2"/>
    </row>
    <row r="86" spans="1:5" x14ac:dyDescent="0.25">
      <c r="A86" s="1" t="s">
        <v>58</v>
      </c>
      <c r="C86" s="1">
        <f>1/SQRT((C81)^2+(C82)^2+(C83)^2)</f>
        <v>0.70394670414744409</v>
      </c>
      <c r="D86" s="1">
        <f t="shared" ref="D86:E86" si="3">1/SQRT((D81)^2+(D82)^2+(D83)^2)</f>
        <v>0.58119908039611001</v>
      </c>
      <c r="E86" s="1">
        <f t="shared" si="3"/>
        <v>0.40824829046386307</v>
      </c>
    </row>
    <row r="88" spans="1:5" ht="13" x14ac:dyDescent="0.3">
      <c r="C88" s="4" t="s">
        <v>56</v>
      </c>
    </row>
    <row r="89" spans="1:5" ht="13" x14ac:dyDescent="0.3">
      <c r="C89" s="2" t="s">
        <v>8</v>
      </c>
      <c r="D89" s="2" t="s">
        <v>9</v>
      </c>
      <c r="E89" s="2" t="s">
        <v>10</v>
      </c>
    </row>
    <row r="90" spans="1:5" x14ac:dyDescent="0.25">
      <c r="A90" s="1" t="s">
        <v>58</v>
      </c>
      <c r="C90" s="1" cm="1">
        <f t="array" ref="C90:E92">C86:E86*_xlfn.ANCHORARRAY(C81)</f>
        <v>0.42866713354862607</v>
      </c>
      <c r="D90" s="1">
        <v>-0.80596390858929756</v>
      </c>
      <c r="E90" s="1">
        <v>0.40824829046386307</v>
      </c>
    </row>
    <row r="91" spans="1:5" x14ac:dyDescent="0.25">
      <c r="C91" s="1">
        <v>0.56630691884803519</v>
      </c>
      <c r="D91" s="1">
        <v>-0.11238241409659375</v>
      </c>
      <c r="E91" s="1">
        <v>-0.81649658092772615</v>
      </c>
    </row>
    <row r="92" spans="1:5" x14ac:dyDescent="0.25">
      <c r="C92" s="1">
        <v>0.70394670414744409</v>
      </c>
      <c r="D92" s="1">
        <v>0.58119908039611001</v>
      </c>
      <c r="E92" s="1">
        <v>0.40824829046386307</v>
      </c>
    </row>
    <row r="94" spans="1:5" ht="13" x14ac:dyDescent="0.3">
      <c r="C94" s="2" t="s">
        <v>3</v>
      </c>
      <c r="D94" s="2"/>
      <c r="E94" s="2"/>
    </row>
    <row r="95" spans="1:5" x14ac:dyDescent="0.25">
      <c r="A95" s="1" t="s">
        <v>58</v>
      </c>
      <c r="C95" s="1" cm="1">
        <f t="array" ref="C95:E97">TRANSPOSE(_xlfn.ANCHORARRAY(C90))</f>
        <v>0.42866713354862607</v>
      </c>
      <c r="D95" s="1">
        <v>0.56630691884803519</v>
      </c>
      <c r="E95" s="1">
        <v>0.70394670414744409</v>
      </c>
    </row>
    <row r="96" spans="1:5" x14ac:dyDescent="0.25">
      <c r="C96" s="1">
        <v>-0.80596390858929756</v>
      </c>
      <c r="D96" s="1">
        <v>-0.11238241409659375</v>
      </c>
      <c r="E96" s="1">
        <v>0.58119908039611001</v>
      </c>
    </row>
    <row r="97" spans="1:5" x14ac:dyDescent="0.25">
      <c r="C97" s="1">
        <v>0.40824829046386307</v>
      </c>
      <c r="D97" s="1">
        <v>-0.81649658092772615</v>
      </c>
      <c r="E97" s="1">
        <v>0.40824829046386307</v>
      </c>
    </row>
    <row r="99" spans="1:5" ht="13" x14ac:dyDescent="0.3">
      <c r="C99" s="4" t="s">
        <v>26</v>
      </c>
    </row>
    <row r="100" spans="1:5" ht="13" x14ac:dyDescent="0.3">
      <c r="C100" s="2" t="s">
        <v>27</v>
      </c>
      <c r="D100" s="2" t="s">
        <v>28</v>
      </c>
      <c r="E100" s="2" t="s">
        <v>29</v>
      </c>
    </row>
    <row r="101" spans="1:5" x14ac:dyDescent="0.25">
      <c r="A101" s="1" t="s">
        <v>58</v>
      </c>
      <c r="C101" s="1">
        <f>C54</f>
        <v>90.402672526253937</v>
      </c>
      <c r="D101" s="1">
        <f>D55</f>
        <v>0.59732747374606276</v>
      </c>
      <c r="E101" s="1">
        <f>E56</f>
        <v>0</v>
      </c>
    </row>
    <row r="103" spans="1:5" ht="13" x14ac:dyDescent="0.3">
      <c r="C103" s="2" t="s">
        <v>30</v>
      </c>
      <c r="D103" s="2"/>
      <c r="E103" s="2"/>
    </row>
    <row r="104" spans="1:5" x14ac:dyDescent="0.25">
      <c r="A104" s="1" t="s">
        <v>58</v>
      </c>
      <c r="C104" s="1">
        <f>IF(C101&gt;0,SQRT(C101),"NA")</f>
        <v>9.5080320006957244</v>
      </c>
      <c r="D104" s="1">
        <f t="shared" ref="D104:E104" si="4">IF(D101&gt;0,SQRT(D101),"NA")</f>
        <v>0.77286963567348332</v>
      </c>
      <c r="E104" s="1" t="str">
        <f t="shared" si="4"/>
        <v>NA</v>
      </c>
    </row>
    <row r="106" spans="1:5" ht="13" x14ac:dyDescent="0.3">
      <c r="C106" s="4" t="s">
        <v>31</v>
      </c>
    </row>
    <row r="107" spans="1:5" ht="13" x14ac:dyDescent="0.3">
      <c r="C107" s="2" t="s">
        <v>32</v>
      </c>
      <c r="D107" s="2"/>
      <c r="E107" s="2"/>
    </row>
    <row r="108" spans="1:5" x14ac:dyDescent="0.25">
      <c r="A108" s="1" t="s">
        <v>58</v>
      </c>
      <c r="C108" s="1">
        <f>IF(ISNUMBER(C$104),C$104,"")</f>
        <v>9.5080320006957244</v>
      </c>
      <c r="D108" s="1">
        <f>IF(ISNUMBER(C108),0,"")</f>
        <v>0</v>
      </c>
      <c r="E108" s="1">
        <f>IF(ISNUMBER(D108),0,"")</f>
        <v>0</v>
      </c>
    </row>
    <row r="109" spans="1:5" x14ac:dyDescent="0.25">
      <c r="C109" s="1">
        <f>IF(ISNUMBER(D109),0,"")</f>
        <v>0</v>
      </c>
      <c r="D109" s="1">
        <f>IF(ISNUMBER(D$104),D$104,"")</f>
        <v>0.77286963567348332</v>
      </c>
      <c r="E109" s="1">
        <f>IF(ISNUMBER(D109),0,"")</f>
        <v>0</v>
      </c>
    </row>
    <row r="110" spans="1:5" x14ac:dyDescent="0.25">
      <c r="C110" s="1" t="str">
        <f>IF(ISNUMBER(D110),0,"")</f>
        <v/>
      </c>
      <c r="D110" s="1" t="str">
        <f>IF(ISNUMBER(E110),0,"")</f>
        <v/>
      </c>
      <c r="E110" s="1" t="str">
        <f>IF(ISNUMBER(E$104),E$104,"")</f>
        <v/>
      </c>
    </row>
    <row r="112" spans="1:5" ht="13" x14ac:dyDescent="0.3">
      <c r="C112" s="4" t="s">
        <v>4</v>
      </c>
    </row>
    <row r="113" spans="1:5" ht="13" x14ac:dyDescent="0.3">
      <c r="C113" s="2" t="s">
        <v>32</v>
      </c>
      <c r="D113" s="2"/>
      <c r="E113" s="2"/>
    </row>
    <row r="114" spans="1:5" x14ac:dyDescent="0.25">
      <c r="A114" s="1" t="s">
        <v>58</v>
      </c>
      <c r="C114" s="1" cm="1">
        <f t="array" ref="C114:C115">_xlfn._xlws.FILTER(C108:C110,ISNUMBER(C108:C110)=TRUE)</f>
        <v>9.5080320006957244</v>
      </c>
      <c r="D114" s="1" cm="1">
        <f t="array" ref="D114:D115">_xlfn._xlws.FILTER(D108:D110,ISNUMBER(D108:D110)=TRUE)</f>
        <v>0</v>
      </c>
      <c r="E114" s="1" cm="1">
        <f t="array" ref="E114:E115">_xlfn._xlws.FILTER(E108:E110,ISNUMBER(E108:E110)=TRUE)</f>
        <v>0</v>
      </c>
    </row>
    <row r="115" spans="1:5" x14ac:dyDescent="0.25">
      <c r="C115" s="1">
        <v>0</v>
      </c>
      <c r="D115" s="1">
        <v>0.77286963567348332</v>
      </c>
      <c r="E115" s="1">
        <v>0</v>
      </c>
    </row>
    <row r="117" spans="1:5" ht="13" x14ac:dyDescent="0.3">
      <c r="C117" s="4" t="s">
        <v>33</v>
      </c>
      <c r="D117" s="4"/>
      <c r="E117" s="4"/>
    </row>
    <row r="118" spans="1:5" x14ac:dyDescent="0.25">
      <c r="A118" s="1" t="s">
        <v>58</v>
      </c>
      <c r="C118" s="1" t="s">
        <v>39</v>
      </c>
    </row>
    <row r="119" spans="1:5" x14ac:dyDescent="0.25">
      <c r="C119" s="1" t="s">
        <v>37</v>
      </c>
    </row>
    <row r="120" spans="1:5" x14ac:dyDescent="0.25">
      <c r="C120" s="1" t="s">
        <v>51</v>
      </c>
    </row>
    <row r="121" spans="1:5" x14ac:dyDescent="0.25">
      <c r="C121" s="1" t="s">
        <v>52</v>
      </c>
    </row>
    <row r="123" spans="1:5" ht="13" x14ac:dyDescent="0.3">
      <c r="C123" s="2" t="s">
        <v>34</v>
      </c>
      <c r="D123" s="2" t="s">
        <v>35</v>
      </c>
      <c r="E123" s="1" t="str">
        <f>IF(ISNUMBER(E116),"u3","")</f>
        <v/>
      </c>
    </row>
    <row r="124" spans="1:5" x14ac:dyDescent="0.25">
      <c r="A124" s="1" t="s">
        <v>58</v>
      </c>
      <c r="C124" s="1" cm="1">
        <f t="array" ref="C124:C125">1/C114*(MMULT(C8:E9,C90:C92))</f>
        <v>0.38631770311861152</v>
      </c>
      <c r="D124" s="1" cm="1">
        <f t="array" ref="D124:D125">1/D115*MMULT(C8:E9,D90:D92)</f>
        <v>0.92236578007705905</v>
      </c>
    </row>
    <row r="125" spans="1:5" x14ac:dyDescent="0.25">
      <c r="C125" s="1">
        <v>0.92236578007705805</v>
      </c>
      <c r="D125" s="1">
        <v>-0.38631770311861247</v>
      </c>
    </row>
    <row r="127" spans="1:5" ht="13" x14ac:dyDescent="0.3">
      <c r="C127" s="2" t="s">
        <v>36</v>
      </c>
      <c r="D127" s="2"/>
    </row>
    <row r="128" spans="1:5" x14ac:dyDescent="0.25">
      <c r="A128" s="1" t="s">
        <v>58</v>
      </c>
      <c r="C128" s="1" cm="1">
        <f t="array" ref="C128:D129">C124:D125</f>
        <v>0.38631770311861152</v>
      </c>
      <c r="D128" s="1">
        <v>0.92236578007705905</v>
      </c>
    </row>
    <row r="129" spans="1:5" x14ac:dyDescent="0.25">
      <c r="C129" s="1">
        <v>0.92236578007705805</v>
      </c>
      <c r="D129" s="1">
        <v>-0.38631770311861247</v>
      </c>
    </row>
    <row r="131" spans="1:5" ht="13" x14ac:dyDescent="0.3">
      <c r="C131" s="2" t="s">
        <v>55</v>
      </c>
      <c r="D131" s="2"/>
      <c r="E131" s="2"/>
    </row>
    <row r="132" spans="1:5" x14ac:dyDescent="0.25">
      <c r="A132" s="1" t="s">
        <v>58</v>
      </c>
      <c r="C132" s="1" cm="1">
        <f t="array" ref="C132:E133">MMULT(MMULT(_xlfn.ANCHORARRAY(C128),C114:E115),_xlfn.ANCHORARRAY(C95))</f>
        <v>1</v>
      </c>
      <c r="D132" s="1">
        <v>2</v>
      </c>
      <c r="E132" s="1">
        <v>2.9999999999999991</v>
      </c>
    </row>
    <row r="133" spans="1:5" x14ac:dyDescent="0.25">
      <c r="C133" s="1">
        <v>3.9999999999999991</v>
      </c>
      <c r="D133" s="1">
        <v>5</v>
      </c>
      <c r="E133" s="1">
        <v>5.9999999999999982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SVD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Ernest</dc:creator>
  <cp:lastModifiedBy>Aaron Ernest</cp:lastModifiedBy>
  <dcterms:created xsi:type="dcterms:W3CDTF">2026-07-26T04:01:57Z</dcterms:created>
  <dcterms:modified xsi:type="dcterms:W3CDTF">2026-09-03T15:08:27Z</dcterms:modified>
</cp:coreProperties>
</file>